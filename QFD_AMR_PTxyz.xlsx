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oce\Downloads\"/>
    </mc:Choice>
  </mc:AlternateContent>
  <xr:revisionPtr revIDLastSave="0" documentId="13_ncr:1_{407F6B6C-37D9-4BA5-8DB4-9D9154B492C8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QFD" sheetId="1" r:id="rId1"/>
  </sheets>
  <externalReferences>
    <externalReference r:id="rId2"/>
  </externalReferences>
  <definedNames>
    <definedName name="Correlation_Options">'[1]Data Validation Sources'!$C$2:$C$6</definedName>
    <definedName name="_xlnm.Print_Area" localSheetId="0">QFD!$A$1:$N$37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1" i="1" l="1"/>
  <c r="G21" i="1"/>
  <c r="F21" i="1"/>
  <c r="E21" i="1"/>
  <c r="D21" i="1"/>
  <c r="I20" i="1"/>
  <c r="I19" i="1"/>
  <c r="I18" i="1"/>
  <c r="I17" i="1"/>
  <c r="I16" i="1"/>
  <c r="I15" i="1"/>
  <c r="I14" i="1"/>
  <c r="I13" i="1"/>
  <c r="I12" i="1"/>
  <c r="D23" i="1" l="1"/>
  <c r="E23" i="1"/>
  <c r="H23" i="1"/>
  <c r="F23" i="1"/>
  <c r="I21" i="1"/>
  <c r="G23" i="1"/>
  <c r="D22" i="1" l="1"/>
  <c r="E22" i="1"/>
  <c r="G22" i="1"/>
  <c r="F22" i="1"/>
  <c r="H22" i="1"/>
  <c r="I22" i="1" l="1"/>
</calcChain>
</file>

<file path=xl/sharedStrings.xml><?xml version="1.0" encoding="utf-8"?>
<sst xmlns="http://schemas.openxmlformats.org/spreadsheetml/2006/main" count="70" uniqueCount="65">
  <si>
    <t>Quality Function Deployment</t>
  </si>
  <si>
    <t>Project title:</t>
  </si>
  <si>
    <t>Correlation:</t>
  </si>
  <si>
    <t>Project leader:</t>
  </si>
  <si>
    <t>+</t>
  </si>
  <si>
    <t>.</t>
  </si>
  <si>
    <t>-</t>
  </si>
  <si>
    <t>Date:</t>
  </si>
  <si>
    <t>05/06/2026</t>
  </si>
  <si>
    <t>Positive</t>
  </si>
  <si>
    <t>No correlation</t>
  </si>
  <si>
    <t>Negative</t>
  </si>
  <si>
    <t>Relationships:</t>
  </si>
  <si>
    <t>Desired direction of improvement (↑,0,↓)</t>
  </si>
  <si>
    <t>↑</t>
  </si>
  <si>
    <t>Strong</t>
  </si>
  <si>
    <t>Moderate</t>
  </si>
  <si>
    <t>Weak</t>
  </si>
  <si>
    <t>None</t>
  </si>
  <si>
    <t>1: low, 5: high</t>
  </si>
  <si>
    <t>Functional Requirements (How's)
→</t>
  </si>
  <si>
    <t>Sistem Navigasi Berbasis LiDAR
(SLAM + AMCL)</t>
  </si>
  <si>
    <t>Dynamic Obstacle Avoidance
(Nav2 + MPPI Controller)</t>
  </si>
  <si>
    <t>Fusi Sensor IMU + Odometri
(EKF)</t>
  </si>
  <si>
    <t>Komputasi Onboard
(Mini PC i7-4600U)</t>
  </si>
  <si>
    <t>Web Interface
Telemetri &amp; Kontrol</t>
  </si>
  <si>
    <t>Competitive evaluation (1: low, 5: high)</t>
  </si>
  <si>
    <t>Customer importance rating</t>
  </si>
  <si>
    <t>Customer Requirements - (What's)
↓</t>
  </si>
  <si>
    <t>Weighted Score</t>
  </si>
  <si>
    <t>Satisfaction rating</t>
  </si>
  <si>
    <t>AGV Lama (Competitor)</t>
  </si>
  <si>
    <t>AMR Komersial Sejenis</t>
  </si>
  <si>
    <t>Competitor rating 3</t>
  </si>
  <si>
    <t>Navigasi mandiri tanpa jalur fisik</t>
  </si>
  <si>
    <t>Penghindaran rintangan dinamis real-time</t>
  </si>
  <si>
    <t>Akurasi lokalisasi di rute mixed indoor-outdoor</t>
  </si>
  <si>
    <t>Kecepatan operasional memadai (0,7 m/s)</t>
  </si>
  <si>
    <t>Keandalan sepanjang rute ±88 meter</t>
  </si>
  <si>
    <t>Kemudahan rekonfigurasi rute</t>
  </si>
  <si>
    <t>Monitoring status robot jarak jauh</t>
  </si>
  <si>
    <t>Kemudahan perawatan sistem</t>
  </si>
  <si>
    <t>Keamanan operasional di area personel</t>
  </si>
  <si>
    <t>Technical importance score</t>
  </si>
  <si>
    <t>Importance %</t>
  </si>
  <si>
    <t>Priorities rank</t>
  </si>
  <si>
    <t>Current performance</t>
  </si>
  <si>
    <t>Target</t>
  </si>
  <si>
    <t>Benchmark</t>
  </si>
  <si>
    <t>Difficulty</t>
  </si>
  <si>
    <t>1: very easy, 5: very difficult</t>
  </si>
  <si>
    <t>Cost and time</t>
  </si>
  <si>
    <t>Priority to improve</t>
  </si>
  <si>
    <t>Comments/Conclusion:</t>
  </si>
  <si>
    <t>Berdasarkan analisis QFD, Functional Requirement dengan prioritas tertinggi adalah Komputasi Onboard (Mini PC i7-4600U) dan Sistem Navigasi Berbasis LiDAR (SLAM+AMCL), diikuti Dynamic Obstacle Avoidance (Nav2+MPPI) dan Fusi Sensor EKF. Dibandingkan AGV lama berbasis magnetic line, AMR menunjukkan peningkatan signifikan pada seluruh aspek Customer Requirements, terutama navigasi mandiri, penghindaran rintangan, dan fleksibilitas rekonfigurasi rute.</t>
  </si>
  <si>
    <t>Continuous Improvement Toolkit . www.citoolkit.com</t>
  </si>
  <si>
    <t>Guide:</t>
  </si>
  <si>
    <t xml:space="preserve">   Fill in the What's the customer requirements and the importance rating per requirement.</t>
  </si>
  <si>
    <t xml:space="preserve">   Fill in the How's the processes or characteristics that are needed to meet the customer requirements.</t>
  </si>
  <si>
    <t xml:space="preserve">   Work through the matrix indicating the impact that the How's has on each customer requirement.</t>
  </si>
  <si>
    <t xml:space="preserve">   Look at the bottom and the right of the table to see which customer and functional requirements should be given more attention.</t>
  </si>
  <si>
    <t>Note:</t>
  </si>
  <si>
    <t xml:space="preserve">   You need to fill only the white and blue cells.</t>
  </si>
  <si>
    <t xml:space="preserve">Prototipe Autonomous Mobile Robot (AMR) untuk Navigasi Indoor Berbasis Pemetaan dan Perencanaan Jalur Otonom </t>
  </si>
  <si>
    <t>Moch. Shultan Ali 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</si>
</sst>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  <charset val="1"/>
    </font>
    <font>
      <sz val="9"/>
      <name val="Calibri"/>
      <family val="2"/>
      <charset val="1"/>
    </font>
    <font>
      <sz val="20"/>
      <name val="Calibri"/>
      <family val="2"/>
      <charset val="1"/>
    </font>
    <font>
      <sz val="9"/>
      <color rgb="FF0000CC"/>
      <name val="Calibri"/>
      <family val="2"/>
      <charset val="1"/>
    </font>
    <font>
      <b/>
      <sz val="9"/>
      <color theme="1" tint="0.24988555558946501"/>
      <name val="Calibri"/>
      <family val="2"/>
      <charset val="1"/>
    </font>
    <font>
      <sz val="9"/>
      <color theme="1" tint="0.24988555558946501"/>
      <name val="Calibri"/>
      <family val="2"/>
      <charset val="1"/>
    </font>
    <font>
      <sz val="9"/>
      <color rgb="FF969696"/>
      <name val="Calibri"/>
      <family val="2"/>
      <charset val="1"/>
    </font>
    <font>
      <sz val="12"/>
      <color theme="1" tint="0.24988555558946501"/>
      <name val="Calibri"/>
      <family val="2"/>
      <charset val="1"/>
    </font>
    <font>
      <sz val="8"/>
      <color theme="1" tint="0.24988555558946501"/>
      <name val="Calibri"/>
      <family val="2"/>
      <charset val="1"/>
    </font>
    <font>
      <sz val="8"/>
      <name val="Calibri"/>
      <family val="2"/>
      <charset val="1"/>
    </font>
    <font>
      <sz val="9"/>
      <color theme="1" tint="0.49989318521683401"/>
      <name val="Calibri"/>
      <family val="2"/>
      <charset val="1"/>
    </font>
    <font>
      <sz val="9"/>
      <color theme="0" tint="-0.499984740745262"/>
      <name val="Calibri"/>
      <family val="2"/>
      <charset val="1"/>
    </font>
    <font>
      <b/>
      <sz val="9"/>
      <name val="Calibri"/>
      <family val="2"/>
      <charset val="1"/>
    </font>
    <font>
      <sz val="10"/>
      <name val="Calibri"/>
      <family val="2"/>
      <charset val="1"/>
    </font>
    <font>
      <sz val="11"/>
      <name val="Calibri"/>
      <family val="2"/>
      <charset val="1"/>
    </font>
    <font>
      <b/>
      <sz val="10"/>
      <color theme="1" tint="0.24988555558946501"/>
      <name val="Calibri"/>
      <family val="2"/>
      <charset val="1"/>
    </font>
    <font>
      <sz val="10"/>
      <color theme="1" tint="0.2498855555894650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rgb="FFEAEAEA"/>
      </patternFill>
    </fill>
    <fill>
      <patternFill patternType="solid">
        <fgColor theme="0"/>
        <bgColor rgb="FFF2F2F2"/>
      </patternFill>
    </fill>
    <fill>
      <patternFill patternType="solid">
        <fgColor rgb="FFEAEAEA"/>
        <bgColor rgb="FFF2F2F2"/>
      </patternFill>
    </fill>
    <fill>
      <patternFill patternType="solid">
        <fgColor rgb="FFC3E1FF"/>
        <bgColor rgb="FFD9D9D9"/>
      </patternFill>
    </fill>
    <fill>
      <patternFill patternType="solid">
        <fgColor rgb="FFCCFFFF"/>
        <bgColor rgb="FFF2F2F2"/>
      </patternFill>
    </fill>
    <fill>
      <patternFill patternType="solid">
        <fgColor theme="0" tint="-4.9989318521683403E-2"/>
        <bgColor rgb="FFEAEAEA"/>
      </patternFill>
    </fill>
  </fills>
  <borders count="2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4" fillId="7" borderId="0" xfId="0" applyFont="1" applyFill="1" applyAlignment="1">
      <alignment horizontal="center" vertical="center"/>
    </xf>
    <xf numFmtId="0" fontId="10" fillId="2" borderId="11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" fillId="5" borderId="2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/>
    <xf numFmtId="0" fontId="1" fillId="3" borderId="1" xfId="0" applyFont="1" applyFill="1" applyBorder="1" applyAlignment="1" applyProtection="1">
      <alignment horizontal="left" vertical="center"/>
      <protection locked="0"/>
    </xf>
    <xf numFmtId="0" fontId="6" fillId="2" borderId="0" xfId="0" applyFont="1" applyFill="1" applyAlignment="1">
      <alignment horizont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right" vertical="center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 applyAlignment="1">
      <alignment horizontal="center"/>
    </xf>
    <xf numFmtId="0" fontId="1" fillId="4" borderId="4" xfId="0" applyFont="1" applyFill="1" applyBorder="1" applyAlignment="1">
      <alignment horizontal="righ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1" fillId="6" borderId="9" xfId="0" applyFont="1" applyFill="1" applyBorder="1" applyAlignment="1" applyProtection="1">
      <alignment horizontal="left" vertical="center" wrapText="1"/>
      <protection locked="0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11" fillId="4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1" fillId="6" borderId="2" xfId="0" applyFont="1" applyFill="1" applyBorder="1" applyAlignment="1" applyProtection="1">
      <alignment horizontal="left" vertical="center" wrapText="1"/>
      <protection locked="0"/>
    </xf>
    <xf numFmtId="0" fontId="1" fillId="3" borderId="10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>
      <alignment vertical="center"/>
    </xf>
    <xf numFmtId="0" fontId="1" fillId="4" borderId="6" xfId="0" applyFont="1" applyFill="1" applyBorder="1" applyAlignment="1">
      <alignment horizontal="right" vertical="center"/>
    </xf>
    <xf numFmtId="0" fontId="1" fillId="4" borderId="6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right" vertical="center"/>
    </xf>
    <xf numFmtId="9" fontId="1" fillId="4" borderId="2" xfId="0" applyNumberFormat="1" applyFont="1" applyFill="1" applyBorder="1" applyAlignment="1">
      <alignment horizontal="center" vertical="center"/>
    </xf>
    <xf numFmtId="9" fontId="11" fillId="2" borderId="0" xfId="0" applyNumberFormat="1" applyFont="1" applyFill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1" fillId="2" borderId="12" xfId="0" applyFont="1" applyFill="1" applyBorder="1" applyAlignment="1">
      <alignment vertical="center"/>
    </xf>
    <xf numFmtId="0" fontId="1" fillId="4" borderId="12" xfId="0" applyFont="1" applyFill="1" applyBorder="1" applyAlignment="1">
      <alignment horizontal="right" vertical="center"/>
    </xf>
    <xf numFmtId="0" fontId="1" fillId="3" borderId="13" xfId="0" applyFont="1" applyFill="1" applyBorder="1" applyAlignment="1" applyProtection="1">
      <alignment horizontal="center" vertical="center"/>
      <protection locked="0"/>
    </xf>
    <xf numFmtId="0" fontId="1" fillId="4" borderId="3" xfId="0" applyFont="1" applyFill="1" applyBorder="1" applyAlignment="1">
      <alignment horizontal="right" vertical="center"/>
    </xf>
    <xf numFmtId="0" fontId="1" fillId="3" borderId="4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 applyAlignment="1">
      <alignment horizontal="left"/>
    </xf>
    <xf numFmtId="0" fontId="12" fillId="4" borderId="7" xfId="0" applyFont="1" applyFill="1" applyBorder="1" applyAlignment="1">
      <alignment horizontal="right" vertical="center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right"/>
    </xf>
    <xf numFmtId="0" fontId="10" fillId="2" borderId="0" xfId="0" applyFont="1" applyFill="1" applyAlignment="1">
      <alignment horizontal="center" vertical="center"/>
    </xf>
    <xf numFmtId="0" fontId="13" fillId="2" borderId="0" xfId="0" applyFont="1" applyFill="1"/>
    <xf numFmtId="0" fontId="1" fillId="3" borderId="14" xfId="0" applyFont="1" applyFill="1" applyBorder="1" applyProtection="1">
      <protection locked="0"/>
    </xf>
    <xf numFmtId="0" fontId="1" fillId="3" borderId="17" xfId="0" applyFont="1" applyFill="1" applyBorder="1" applyProtection="1">
      <protection locked="0"/>
    </xf>
    <xf numFmtId="0" fontId="1" fillId="3" borderId="0" xfId="0" applyFont="1" applyFill="1" applyProtection="1">
      <protection locked="0"/>
    </xf>
    <xf numFmtId="0" fontId="1" fillId="3" borderId="0" xfId="0" applyFont="1" applyFill="1" applyAlignment="1" applyProtection="1">
      <alignment vertical="center"/>
      <protection locked="0"/>
    </xf>
    <xf numFmtId="0" fontId="1" fillId="3" borderId="18" xfId="0" applyFont="1" applyFill="1" applyBorder="1" applyAlignment="1" applyProtection="1">
      <alignment vertical="center"/>
      <protection locked="0"/>
    </xf>
    <xf numFmtId="0" fontId="1" fillId="3" borderId="19" xfId="0" applyFont="1" applyFill="1" applyBorder="1" applyProtection="1">
      <protection locked="0"/>
    </xf>
    <xf numFmtId="0" fontId="1" fillId="3" borderId="20" xfId="0" applyFont="1" applyFill="1" applyBorder="1" applyProtection="1">
      <protection locked="0"/>
    </xf>
    <xf numFmtId="0" fontId="1" fillId="3" borderId="21" xfId="0" applyFont="1" applyFill="1" applyBorder="1" applyProtection="1">
      <protection locked="0"/>
    </xf>
    <xf numFmtId="0" fontId="15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6" fillId="2" borderId="0" xfId="0" applyFont="1" applyFill="1"/>
    <xf numFmtId="0" fontId="1" fillId="3" borderId="1" xfId="0" applyFont="1" applyFill="1" applyBorder="1" applyAlignment="1" applyProtection="1">
      <alignment horizontal="left" vertical="center" wrapText="1"/>
      <protection locked="0"/>
    </xf>
    <xf numFmtId="0" fontId="1" fillId="3" borderId="15" xfId="0" applyFont="1" applyFill="1" applyBorder="1" applyAlignment="1" applyProtection="1">
      <alignment horizontal="left" vertical="top" wrapText="1"/>
      <protection locked="0"/>
    </xf>
    <xf numFmtId="0" fontId="1" fillId="3" borderId="16" xfId="0" applyFont="1" applyFill="1" applyBorder="1" applyAlignment="1" applyProtection="1">
      <alignment horizontal="left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A6A6A6"/>
      <rgbColor rgb="FF993366"/>
      <rgbColor rgb="FFF2F2F2"/>
      <rgbColor rgb="FFCCFFFF"/>
      <rgbColor rgb="FF660066"/>
      <rgbColor rgb="FFFF8080"/>
      <rgbColor rgb="FF0066CC"/>
      <rgbColor rgb="FFC3E1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AEA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F7F7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2139950</xdr:colOff>
      <xdr:row>1</xdr:row>
      <xdr:rowOff>0</xdr:rowOff>
    </xdr:from>
    <xdr:to>
      <xdr:col>7</xdr:col>
      <xdr:colOff>742950</xdr:colOff>
      <xdr:row>8</xdr:row>
      <xdr:rowOff>0</xdr:rowOff>
    </xdr:to>
    <xdr:grpSp>
      <xdr:nvGrpSpPr>
        <xdr:cNvPr id="2" name="Group 31">
          <a:extLst>
            <a:ext uri="{FF2B5EF4-FFF2-40B4-BE49-F238E27FC236}">
              <a16:creationId xmlns:a16="http://schemas.microsoft.com/office/drawing/2014/main" id="{8B0711B6-779A-4D0A-B877-137440D22724}"/>
            </a:ext>
          </a:extLst>
        </xdr:cNvPr>
        <xdr:cNvGrpSpPr>
          <a:grpSpLocks/>
        </xdr:cNvGrpSpPr>
      </xdr:nvGrpSpPr>
      <xdr:grpSpPr bwMode="auto">
        <a:xfrm>
          <a:off x="3199678" y="328863"/>
          <a:ext cx="3753853" cy="1878531"/>
          <a:chOff x="364" y="70"/>
          <a:chExt cx="376" cy="134"/>
        </a:xfrm>
      </xdr:grpSpPr>
      <xdr:sp macro="" textlink="">
        <xdr:nvSpPr>
          <xdr:cNvPr id="3" name="AutoShape 32">
            <a:extLst>
              <a:ext uri="{FF2B5EF4-FFF2-40B4-BE49-F238E27FC236}">
                <a16:creationId xmlns:a16="http://schemas.microsoft.com/office/drawing/2014/main" id="{F7D476D3-BF95-07E8-94C8-86847977D4C1}"/>
              </a:ext>
            </a:extLst>
          </xdr:cNvPr>
          <xdr:cNvSpPr>
            <a:spLocks noChangeArrowheads="1"/>
          </xdr:cNvSpPr>
        </xdr:nvSpPr>
        <xdr:spPr bwMode="auto">
          <a:xfrm>
            <a:off x="364" y="70"/>
            <a:ext cx="376" cy="134"/>
          </a:xfrm>
          <a:prstGeom prst="triangle">
            <a:avLst>
              <a:gd name="adj" fmla="val 50000"/>
            </a:avLst>
          </a:prstGeom>
          <a:solidFill>
            <a:srgbClr val="FFFFFF"/>
          </a:solidFill>
          <a:ln w="12700">
            <a:solidFill>
              <a:schemeClr val="bg1">
                <a:lumMod val="65000"/>
              </a:schemeClr>
            </a:solidFill>
            <a:miter lim="800000"/>
            <a:headEnd/>
            <a:tailEnd/>
          </a:ln>
        </xdr:spPr>
      </xdr:sp>
      <xdr:sp macro="" textlink="">
        <xdr:nvSpPr>
          <xdr:cNvPr id="4" name="Rectangle 33">
            <a:extLst>
              <a:ext uri="{FF2B5EF4-FFF2-40B4-BE49-F238E27FC236}">
                <a16:creationId xmlns:a16="http://schemas.microsoft.com/office/drawing/2014/main" id="{3F2BB658-3FEB-46B5-6B9A-06FED3D28960}"/>
              </a:ext>
            </a:extLst>
          </xdr:cNvPr>
          <xdr:cNvSpPr>
            <a:spLocks noChangeArrowheads="1"/>
          </xdr:cNvSpPr>
        </xdr:nvSpPr>
        <xdr:spPr bwMode="auto">
          <a:xfrm>
            <a:off x="422" y="167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5" name="Rectangle 34">
            <a:extLst>
              <a:ext uri="{FF2B5EF4-FFF2-40B4-BE49-F238E27FC236}">
                <a16:creationId xmlns:a16="http://schemas.microsoft.com/office/drawing/2014/main" id="{8D67EC2F-9BA8-1B70-A7D4-CA215665F9FB}"/>
              </a:ext>
            </a:extLst>
          </xdr:cNvPr>
          <xdr:cNvSpPr>
            <a:spLocks noChangeArrowheads="1"/>
          </xdr:cNvSpPr>
        </xdr:nvSpPr>
        <xdr:spPr bwMode="auto">
          <a:xfrm>
            <a:off x="459" y="140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6" name="Rectangle 35">
            <a:extLst>
              <a:ext uri="{FF2B5EF4-FFF2-40B4-BE49-F238E27FC236}">
                <a16:creationId xmlns:a16="http://schemas.microsoft.com/office/drawing/2014/main" id="{1977A9EF-A6C5-4FE0-1CBB-E6BC72C2872B}"/>
              </a:ext>
            </a:extLst>
          </xdr:cNvPr>
          <xdr:cNvSpPr>
            <a:spLocks noChangeArrowheads="1"/>
          </xdr:cNvSpPr>
        </xdr:nvSpPr>
        <xdr:spPr bwMode="auto">
          <a:xfrm>
            <a:off x="497" y="167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7" name="Rectangle 36">
            <a:extLst>
              <a:ext uri="{FF2B5EF4-FFF2-40B4-BE49-F238E27FC236}">
                <a16:creationId xmlns:a16="http://schemas.microsoft.com/office/drawing/2014/main" id="{6D5DF5E9-B531-C046-BABE-2D5CC80615DB}"/>
              </a:ext>
            </a:extLst>
          </xdr:cNvPr>
          <xdr:cNvSpPr>
            <a:spLocks noChangeArrowheads="1"/>
          </xdr:cNvSpPr>
        </xdr:nvSpPr>
        <xdr:spPr bwMode="auto">
          <a:xfrm>
            <a:off x="497" y="115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8" name="Rectangle 37">
            <a:extLst>
              <a:ext uri="{FF2B5EF4-FFF2-40B4-BE49-F238E27FC236}">
                <a16:creationId xmlns:a16="http://schemas.microsoft.com/office/drawing/2014/main" id="{50335D73-FC5B-48DC-5375-2EE8C01E444B}"/>
              </a:ext>
            </a:extLst>
          </xdr:cNvPr>
          <xdr:cNvSpPr>
            <a:spLocks noChangeArrowheads="1"/>
          </xdr:cNvSpPr>
        </xdr:nvSpPr>
        <xdr:spPr bwMode="auto">
          <a:xfrm>
            <a:off x="534" y="141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9" name="Rectangle 38">
            <a:extLst>
              <a:ext uri="{FF2B5EF4-FFF2-40B4-BE49-F238E27FC236}">
                <a16:creationId xmlns:a16="http://schemas.microsoft.com/office/drawing/2014/main" id="{2092B71D-C173-1704-0DD3-6A791011882F}"/>
              </a:ext>
            </a:extLst>
          </xdr:cNvPr>
          <xdr:cNvSpPr>
            <a:spLocks noChangeArrowheads="1"/>
          </xdr:cNvSpPr>
        </xdr:nvSpPr>
        <xdr:spPr bwMode="auto">
          <a:xfrm>
            <a:off x="571" y="167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10" name="Rectangle 39">
            <a:extLst>
              <a:ext uri="{FF2B5EF4-FFF2-40B4-BE49-F238E27FC236}">
                <a16:creationId xmlns:a16="http://schemas.microsoft.com/office/drawing/2014/main" id="{C09F3C65-B5FE-5708-223F-87F2643185CC}"/>
              </a:ext>
            </a:extLst>
          </xdr:cNvPr>
          <xdr:cNvSpPr>
            <a:spLocks noChangeArrowheads="1"/>
          </xdr:cNvSpPr>
        </xdr:nvSpPr>
        <xdr:spPr bwMode="auto">
          <a:xfrm>
            <a:off x="534" y="87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11" name="Rectangle 40">
            <a:extLst>
              <a:ext uri="{FF2B5EF4-FFF2-40B4-BE49-F238E27FC236}">
                <a16:creationId xmlns:a16="http://schemas.microsoft.com/office/drawing/2014/main" id="{7DF6EAB3-99C1-3165-A97E-3D1C0FEA457A}"/>
              </a:ext>
            </a:extLst>
          </xdr:cNvPr>
          <xdr:cNvSpPr>
            <a:spLocks noChangeArrowheads="1"/>
          </xdr:cNvSpPr>
        </xdr:nvSpPr>
        <xdr:spPr bwMode="auto">
          <a:xfrm>
            <a:off x="571" y="114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12" name="Rectangle 41">
            <a:extLst>
              <a:ext uri="{FF2B5EF4-FFF2-40B4-BE49-F238E27FC236}">
                <a16:creationId xmlns:a16="http://schemas.microsoft.com/office/drawing/2014/main" id="{427C48BD-8122-888A-511B-8D509874A92F}"/>
              </a:ext>
            </a:extLst>
          </xdr:cNvPr>
          <xdr:cNvSpPr>
            <a:spLocks noChangeArrowheads="1"/>
          </xdr:cNvSpPr>
        </xdr:nvSpPr>
        <xdr:spPr bwMode="auto">
          <a:xfrm>
            <a:off x="609" y="140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13" name="Rectangle 42">
            <a:extLst>
              <a:ext uri="{FF2B5EF4-FFF2-40B4-BE49-F238E27FC236}">
                <a16:creationId xmlns:a16="http://schemas.microsoft.com/office/drawing/2014/main" id="{FF988E7A-B691-8166-A848-07EF8FF3B1EB}"/>
              </a:ext>
            </a:extLst>
          </xdr:cNvPr>
          <xdr:cNvSpPr>
            <a:spLocks noChangeArrowheads="1"/>
          </xdr:cNvSpPr>
        </xdr:nvSpPr>
        <xdr:spPr bwMode="auto">
          <a:xfrm>
            <a:off x="647" y="167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C:/Users/dsaadeddin/Desktop/QFD/House%20of%20Quality%20(1).xls" TargetMode="External"/><Relationship Id="rId1" Type="http://schemas.openxmlformats.org/officeDocument/2006/relationships/externalLinkPath" Target="/Users/C:/Users/dsaadeddin/Desktop/QFD/House%20of%20Quality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use of Quality 1"/>
      <sheetName val="Data Validation Sources"/>
      <sheetName val="House of Quality 2"/>
      <sheetName val="House of Quality 3"/>
      <sheetName val="House of Quality 4"/>
      <sheetName val="Abou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showGridLines="0" tabSelected="1" topLeftCell="A15" zoomScaleNormal="100" workbookViewId="0">
      <selection activeCell="T32" sqref="T32"/>
    </sheetView>
  </sheetViews>
  <sheetFormatPr defaultColWidth="8.81640625" defaultRowHeight="12" x14ac:dyDescent="0.3"/>
  <cols>
    <col min="1" max="1" width="2.7265625" style="5" customWidth="1"/>
    <col min="2" max="2" width="12.26953125" style="5" customWidth="1"/>
    <col min="3" max="3" width="30.7265625" style="5" customWidth="1"/>
    <col min="4" max="13" width="10.7265625" style="5" customWidth="1"/>
    <col min="14" max="14" width="2.7265625" style="5" customWidth="1"/>
    <col min="15" max="16384" width="8.81640625" style="5"/>
  </cols>
  <sheetData>
    <row r="1" spans="1:13" ht="26.25" customHeight="1" x14ac:dyDescent="0.6">
      <c r="B1" s="6" t="s">
        <v>0</v>
      </c>
    </row>
    <row r="2" spans="1:13" ht="15" customHeight="1" x14ac:dyDescent="0.3">
      <c r="B2" s="7"/>
      <c r="G2" s="8"/>
      <c r="H2" s="8"/>
      <c r="K2" s="9"/>
      <c r="L2" s="10"/>
    </row>
    <row r="3" spans="1:13" ht="47.5" customHeight="1" x14ac:dyDescent="0.3">
      <c r="B3" s="7" t="s">
        <v>1</v>
      </c>
      <c r="C3" s="70" t="s">
        <v>63</v>
      </c>
      <c r="D3" s="7"/>
      <c r="E3" s="8"/>
      <c r="F3" s="12"/>
      <c r="G3" s="7"/>
      <c r="J3" s="13" t="s">
        <v>2</v>
      </c>
      <c r="K3" s="14"/>
      <c r="L3" s="15"/>
    </row>
    <row r="4" spans="1:13" ht="27.5" customHeight="1" x14ac:dyDescent="0.3">
      <c r="B4" s="7" t="s">
        <v>3</v>
      </c>
      <c r="C4" s="70" t="s">
        <v>64</v>
      </c>
      <c r="D4" s="7"/>
      <c r="E4" s="8"/>
      <c r="F4" s="12"/>
      <c r="G4" s="7"/>
      <c r="J4" s="16" t="s">
        <v>4</v>
      </c>
      <c r="K4" s="16" t="s">
        <v>5</v>
      </c>
      <c r="L4" s="16" t="s">
        <v>6</v>
      </c>
    </row>
    <row r="5" spans="1:13" ht="15" customHeight="1" x14ac:dyDescent="0.3">
      <c r="B5" s="7" t="s">
        <v>7</v>
      </c>
      <c r="C5" s="11" t="s">
        <v>8</v>
      </c>
      <c r="D5" s="7"/>
      <c r="E5" s="8"/>
      <c r="F5" s="12"/>
      <c r="G5" s="7"/>
      <c r="J5" s="17" t="s">
        <v>9</v>
      </c>
      <c r="K5" s="18" t="s">
        <v>10</v>
      </c>
      <c r="L5" s="17" t="s">
        <v>11</v>
      </c>
    </row>
    <row r="6" spans="1:13" ht="15" customHeight="1" x14ac:dyDescent="0.3">
      <c r="B6" s="7"/>
      <c r="C6" s="8"/>
      <c r="D6" s="7"/>
      <c r="E6" s="8"/>
      <c r="F6" s="12"/>
      <c r="G6" s="7"/>
      <c r="K6" s="14"/>
      <c r="L6" s="15"/>
    </row>
    <row r="7" spans="1:13" ht="15" customHeight="1" x14ac:dyDescent="0.3">
      <c r="B7" s="7"/>
      <c r="C7" s="19"/>
      <c r="D7" s="7"/>
      <c r="E7" s="8"/>
      <c r="F7" s="12"/>
      <c r="G7" s="7"/>
      <c r="J7" s="13" t="s">
        <v>12</v>
      </c>
      <c r="K7" s="14"/>
      <c r="L7" s="15"/>
    </row>
    <row r="8" spans="1:13" ht="15" customHeight="1" x14ac:dyDescent="0.3">
      <c r="B8" s="7"/>
      <c r="C8" s="8"/>
      <c r="D8" s="7"/>
      <c r="E8" s="8"/>
      <c r="F8" s="12"/>
      <c r="G8" s="7"/>
      <c r="H8" s="8"/>
      <c r="J8" s="20">
        <v>9</v>
      </c>
      <c r="K8" s="20">
        <v>3</v>
      </c>
      <c r="L8" s="20">
        <v>1</v>
      </c>
      <c r="M8" s="20"/>
    </row>
    <row r="9" spans="1:13" ht="15" customHeight="1" x14ac:dyDescent="0.3">
      <c r="B9" s="7"/>
      <c r="C9" s="21" t="s">
        <v>13</v>
      </c>
      <c r="D9" s="22" t="s">
        <v>14</v>
      </c>
      <c r="E9" s="23" t="s">
        <v>14</v>
      </c>
      <c r="F9" s="23" t="s">
        <v>14</v>
      </c>
      <c r="G9" s="23" t="s">
        <v>14</v>
      </c>
      <c r="H9" s="23" t="s">
        <v>14</v>
      </c>
      <c r="J9" s="17" t="s">
        <v>15</v>
      </c>
      <c r="K9" s="17" t="s">
        <v>16</v>
      </c>
      <c r="L9" s="17" t="s">
        <v>17</v>
      </c>
      <c r="M9" s="17" t="s">
        <v>18</v>
      </c>
    </row>
    <row r="10" spans="1:13" ht="24" customHeight="1" x14ac:dyDescent="0.3">
      <c r="B10" s="24" t="s">
        <v>19</v>
      </c>
      <c r="C10" s="25" t="s">
        <v>20</v>
      </c>
      <c r="D10" s="4" t="s">
        <v>21</v>
      </c>
      <c r="E10" s="4" t="s">
        <v>22</v>
      </c>
      <c r="F10" s="4" t="s">
        <v>23</v>
      </c>
      <c r="G10" s="4" t="s">
        <v>24</v>
      </c>
      <c r="H10" s="4" t="s">
        <v>25</v>
      </c>
      <c r="J10" s="3" t="s">
        <v>26</v>
      </c>
      <c r="K10" s="3"/>
      <c r="L10" s="3"/>
      <c r="M10" s="3"/>
    </row>
    <row r="11" spans="1:13" ht="36" customHeight="1" x14ac:dyDescent="0.3">
      <c r="A11" s="12"/>
      <c r="B11" s="26" t="s">
        <v>27</v>
      </c>
      <c r="C11" s="27" t="s">
        <v>28</v>
      </c>
      <c r="D11" s="4"/>
      <c r="E11" s="4"/>
      <c r="F11" s="4"/>
      <c r="G11" s="4"/>
      <c r="H11" s="4"/>
      <c r="I11" s="28" t="s">
        <v>29</v>
      </c>
      <c r="J11" s="29" t="s">
        <v>30</v>
      </c>
      <c r="K11" s="26" t="s">
        <v>31</v>
      </c>
      <c r="L11" s="26" t="s">
        <v>32</v>
      </c>
      <c r="M11" s="26" t="s">
        <v>33</v>
      </c>
    </row>
    <row r="12" spans="1:13" ht="15" customHeight="1" x14ac:dyDescent="0.3">
      <c r="A12" s="30">
        <v>1</v>
      </c>
      <c r="B12" s="31">
        <v>5</v>
      </c>
      <c r="C12" s="32" t="s">
        <v>34</v>
      </c>
      <c r="D12" s="33">
        <v>9</v>
      </c>
      <c r="E12" s="33">
        <v>3</v>
      </c>
      <c r="F12" s="33">
        <v>3</v>
      </c>
      <c r="G12" s="33">
        <v>9</v>
      </c>
      <c r="H12" s="33">
        <v>1</v>
      </c>
      <c r="I12" s="34">
        <f t="shared" ref="I12:I20" si="0">(D12*B12)+(E12*B12)+(F12*B12)+(G12*B12)+(H12*B12)</f>
        <v>125</v>
      </c>
      <c r="J12" s="35">
        <v>4</v>
      </c>
      <c r="K12" s="36">
        <v>1</v>
      </c>
      <c r="L12" s="35">
        <v>4</v>
      </c>
      <c r="M12" s="36"/>
    </row>
    <row r="13" spans="1:13" ht="15" customHeight="1" x14ac:dyDescent="0.3">
      <c r="A13" s="30">
        <v>2</v>
      </c>
      <c r="B13" s="31">
        <v>5</v>
      </c>
      <c r="C13" s="37" t="s">
        <v>35</v>
      </c>
      <c r="D13" s="33">
        <v>3</v>
      </c>
      <c r="E13" s="33">
        <v>9</v>
      </c>
      <c r="F13" s="33">
        <v>3</v>
      </c>
      <c r="G13" s="33">
        <v>9</v>
      </c>
      <c r="H13" s="33">
        <v>1</v>
      </c>
      <c r="I13" s="34">
        <f t="shared" si="0"/>
        <v>125</v>
      </c>
      <c r="J13" s="38">
        <v>4</v>
      </c>
      <c r="K13" s="33">
        <v>1</v>
      </c>
      <c r="L13" s="38">
        <v>4</v>
      </c>
      <c r="M13" s="33"/>
    </row>
    <row r="14" spans="1:13" ht="26.5" customHeight="1" x14ac:dyDescent="0.3">
      <c r="A14" s="30">
        <v>3</v>
      </c>
      <c r="B14" s="31">
        <v>5</v>
      </c>
      <c r="C14" s="37" t="s">
        <v>36</v>
      </c>
      <c r="D14" s="33">
        <v>9</v>
      </c>
      <c r="E14" s="33">
        <v>3</v>
      </c>
      <c r="F14" s="33">
        <v>9</v>
      </c>
      <c r="G14" s="33">
        <v>9</v>
      </c>
      <c r="H14" s="33">
        <v>1</v>
      </c>
      <c r="I14" s="34">
        <f t="shared" si="0"/>
        <v>155</v>
      </c>
      <c r="J14" s="38">
        <v>4</v>
      </c>
      <c r="K14" s="33">
        <v>1</v>
      </c>
      <c r="L14" s="38">
        <v>3</v>
      </c>
      <c r="M14" s="33"/>
    </row>
    <row r="15" spans="1:13" ht="15" customHeight="1" x14ac:dyDescent="0.3">
      <c r="A15" s="30">
        <v>4</v>
      </c>
      <c r="B15" s="31">
        <v>4</v>
      </c>
      <c r="C15" s="37" t="s">
        <v>37</v>
      </c>
      <c r="D15" s="33">
        <v>3</v>
      </c>
      <c r="E15" s="33">
        <v>9</v>
      </c>
      <c r="F15" s="33">
        <v>3</v>
      </c>
      <c r="G15" s="33">
        <v>9</v>
      </c>
      <c r="H15" s="33">
        <v>1</v>
      </c>
      <c r="I15" s="34">
        <f t="shared" si="0"/>
        <v>100</v>
      </c>
      <c r="J15" s="38">
        <v>4</v>
      </c>
      <c r="K15" s="33">
        <v>2</v>
      </c>
      <c r="L15" s="38">
        <v>4</v>
      </c>
      <c r="M15" s="33"/>
    </row>
    <row r="16" spans="1:13" ht="15" customHeight="1" x14ac:dyDescent="0.3">
      <c r="A16" s="30">
        <v>5</v>
      </c>
      <c r="B16" s="31">
        <v>4</v>
      </c>
      <c r="C16" s="37" t="s">
        <v>38</v>
      </c>
      <c r="D16" s="33">
        <v>9</v>
      </c>
      <c r="E16" s="33">
        <v>9</v>
      </c>
      <c r="F16" s="33">
        <v>9</v>
      </c>
      <c r="G16" s="33">
        <v>9</v>
      </c>
      <c r="H16" s="33">
        <v>3</v>
      </c>
      <c r="I16" s="34">
        <f t="shared" si="0"/>
        <v>156</v>
      </c>
      <c r="J16" s="38">
        <v>4</v>
      </c>
      <c r="K16" s="33">
        <v>2</v>
      </c>
      <c r="L16" s="38">
        <v>3</v>
      </c>
      <c r="M16" s="33"/>
    </row>
    <row r="17" spans="1:13" ht="15" customHeight="1" x14ac:dyDescent="0.3">
      <c r="A17" s="30">
        <v>6</v>
      </c>
      <c r="B17" s="31">
        <v>4</v>
      </c>
      <c r="C17" s="37" t="s">
        <v>39</v>
      </c>
      <c r="D17" s="33">
        <v>9</v>
      </c>
      <c r="E17" s="33">
        <v>3</v>
      </c>
      <c r="F17" s="33">
        <v>1</v>
      </c>
      <c r="G17" s="33">
        <v>3</v>
      </c>
      <c r="H17" s="33">
        <v>9</v>
      </c>
      <c r="I17" s="34">
        <f t="shared" si="0"/>
        <v>100</v>
      </c>
      <c r="J17" s="38">
        <v>5</v>
      </c>
      <c r="K17" s="33">
        <v>1</v>
      </c>
      <c r="L17" s="38">
        <v>3</v>
      </c>
      <c r="M17" s="33"/>
    </row>
    <row r="18" spans="1:13" ht="15" customHeight="1" x14ac:dyDescent="0.3">
      <c r="A18" s="30">
        <v>7</v>
      </c>
      <c r="B18" s="31">
        <v>3</v>
      </c>
      <c r="C18" s="37" t="s">
        <v>40</v>
      </c>
      <c r="D18" s="33">
        <v>1</v>
      </c>
      <c r="E18" s="33">
        <v>1</v>
      </c>
      <c r="F18" s="33">
        <v>1</v>
      </c>
      <c r="G18" s="33">
        <v>3</v>
      </c>
      <c r="H18" s="33">
        <v>9</v>
      </c>
      <c r="I18" s="34">
        <f t="shared" si="0"/>
        <v>45</v>
      </c>
      <c r="J18" s="38">
        <v>4</v>
      </c>
      <c r="K18" s="33">
        <v>1</v>
      </c>
      <c r="L18" s="38">
        <v>3</v>
      </c>
      <c r="M18" s="33"/>
    </row>
    <row r="19" spans="1:13" ht="15" customHeight="1" x14ac:dyDescent="0.3">
      <c r="A19" s="30">
        <v>8</v>
      </c>
      <c r="B19" s="31">
        <v>4</v>
      </c>
      <c r="C19" s="37" t="s">
        <v>41</v>
      </c>
      <c r="D19" s="33">
        <v>1</v>
      </c>
      <c r="E19" s="33">
        <v>1</v>
      </c>
      <c r="F19" s="33">
        <v>1</v>
      </c>
      <c r="G19" s="33">
        <v>3</v>
      </c>
      <c r="H19" s="33">
        <v>3</v>
      </c>
      <c r="I19" s="34">
        <f t="shared" si="0"/>
        <v>36</v>
      </c>
      <c r="J19" s="38">
        <v>3</v>
      </c>
      <c r="K19" s="33">
        <v>2</v>
      </c>
      <c r="L19" s="38">
        <v>3</v>
      </c>
      <c r="M19" s="33"/>
    </row>
    <row r="20" spans="1:13" ht="15" customHeight="1" x14ac:dyDescent="0.3">
      <c r="A20" s="30">
        <v>9</v>
      </c>
      <c r="B20" s="31">
        <v>5</v>
      </c>
      <c r="C20" s="37" t="s">
        <v>42</v>
      </c>
      <c r="D20" s="33">
        <v>3</v>
      </c>
      <c r="E20" s="33">
        <v>9</v>
      </c>
      <c r="F20" s="33">
        <v>3</v>
      </c>
      <c r="G20" s="33">
        <v>3</v>
      </c>
      <c r="H20" s="33">
        <v>3</v>
      </c>
      <c r="I20" s="34">
        <f t="shared" si="0"/>
        <v>105</v>
      </c>
      <c r="J20" s="38">
        <v>4</v>
      </c>
      <c r="K20" s="33">
        <v>2</v>
      </c>
      <c r="L20" s="38">
        <v>3</v>
      </c>
      <c r="M20" s="33"/>
    </row>
    <row r="21" spans="1:13" ht="12.75" customHeight="1" x14ac:dyDescent="0.3">
      <c r="B21" s="39"/>
      <c r="C21" s="40" t="s">
        <v>43</v>
      </c>
      <c r="D21" s="41">
        <f>D12*B12+D13*B13+D14*B14+D15*B15+D16*B16+D17*B17+D18*B18+D19*B19+D20*B20</f>
        <v>211</v>
      </c>
      <c r="E21" s="41">
        <f>E12*B12+E13*B13+E14*B14+E15*B15+E16*B16+E17*B17+E18*B18+E19*B19+E20*B20</f>
        <v>211</v>
      </c>
      <c r="F21" s="41">
        <f>F12*B12+F13*B13+F14*B14+F15*B15+F16*B16+F17*B17+F18*B18+F19*B19+F20*B20</f>
        <v>149</v>
      </c>
      <c r="G21" s="41">
        <f>G12*B12+G13*B13+G14*B14+G15*B15+G16*B16+G17*B17+G18*B18+G19*B19+G20*B20</f>
        <v>255</v>
      </c>
      <c r="H21" s="41">
        <f>H12*B12+H13*B13+H14*B14+H15*B15+H16*B16+H17*B17+H18*B18+H19*B19+H20*B20</f>
        <v>121</v>
      </c>
      <c r="I21" s="42">
        <f>SUM(I12:I20)</f>
        <v>947</v>
      </c>
      <c r="J21" s="2"/>
      <c r="K21" s="2"/>
      <c r="L21" s="2"/>
      <c r="M21" s="2"/>
    </row>
    <row r="22" spans="1:13" ht="12.75" customHeight="1" x14ac:dyDescent="0.3">
      <c r="B22" s="39"/>
      <c r="C22" s="43" t="s">
        <v>44</v>
      </c>
      <c r="D22" s="44">
        <f>IF(ISERROR(D21/I21)," ",D21/I21)</f>
        <v>0.22280887011615627</v>
      </c>
      <c r="E22" s="44">
        <f>IF(ISERROR(E21/I21)," ",E21/I21)</f>
        <v>0.22280887011615627</v>
      </c>
      <c r="F22" s="44">
        <f>IF(ISERROR(F21/I21)," ",F21/I21)</f>
        <v>0.1573389651531151</v>
      </c>
      <c r="G22" s="44">
        <f>IF(ISERROR(G21/I21)," ",G21/I21)</f>
        <v>0.26927138331573391</v>
      </c>
      <c r="H22" s="44">
        <f>IF(ISERROR(H21/I21)," ",H21/I21)</f>
        <v>0.12777191129883844</v>
      </c>
      <c r="I22" s="45">
        <f>SUM(D22:H22)</f>
        <v>1</v>
      </c>
    </row>
    <row r="23" spans="1:13" ht="12.75" customHeight="1" x14ac:dyDescent="0.3">
      <c r="B23" s="39"/>
      <c r="C23" s="43" t="s">
        <v>45</v>
      </c>
      <c r="D23" s="46">
        <f>IF(ISERROR(RANK(D21,D21:H21,0)),"",RANK(D21,D21:H21,0))</f>
        <v>2</v>
      </c>
      <c r="E23" s="46">
        <f>IF(ISERROR(RANK(E21,D21:H21,0)),"",RANK(E21,D21:H21,0))</f>
        <v>2</v>
      </c>
      <c r="F23" s="46">
        <f>IF(ISERROR(RANK(F21,D21:H21,0)),"",RANK(F21,D21:H21,0))</f>
        <v>4</v>
      </c>
      <c r="G23" s="46">
        <f>IF(ISERROR(RANK(G21,D21:H21,0)),"",RANK(G21,D21:H21,0))</f>
        <v>1</v>
      </c>
      <c r="H23" s="46">
        <f>IF(ISERROR(RANK(H21,D21:H21,0)),"",RANK(H21,D21:H21,0))</f>
        <v>5</v>
      </c>
      <c r="I23" s="47"/>
    </row>
    <row r="24" spans="1:13" ht="12.75" customHeight="1" x14ac:dyDescent="0.3">
      <c r="B24" s="48"/>
      <c r="C24" s="49" t="s">
        <v>46</v>
      </c>
      <c r="D24" s="50">
        <v>3</v>
      </c>
      <c r="E24" s="50">
        <v>3</v>
      </c>
      <c r="F24" s="50">
        <v>3</v>
      </c>
      <c r="G24" s="50">
        <v>4</v>
      </c>
      <c r="H24" s="50">
        <v>3</v>
      </c>
      <c r="I24" s="47"/>
    </row>
    <row r="25" spans="1:13" ht="12.75" customHeight="1" x14ac:dyDescent="0.3">
      <c r="B25" s="48"/>
      <c r="C25" s="51" t="s">
        <v>47</v>
      </c>
      <c r="D25" s="52">
        <v>5</v>
      </c>
      <c r="E25" s="52">
        <v>5</v>
      </c>
      <c r="F25" s="52">
        <v>5</v>
      </c>
      <c r="G25" s="52">
        <v>4</v>
      </c>
      <c r="H25" s="52">
        <v>5</v>
      </c>
      <c r="I25" s="24"/>
    </row>
    <row r="26" spans="1:13" ht="12.75" customHeight="1" x14ac:dyDescent="0.3">
      <c r="B26" s="48"/>
      <c r="C26" s="51" t="s">
        <v>48</v>
      </c>
      <c r="D26" s="52">
        <v>5</v>
      </c>
      <c r="E26" s="52">
        <v>5</v>
      </c>
      <c r="F26" s="52">
        <v>5</v>
      </c>
      <c r="G26" s="52">
        <v>4</v>
      </c>
      <c r="H26" s="52">
        <v>4</v>
      </c>
      <c r="I26" s="24"/>
    </row>
    <row r="27" spans="1:13" ht="12.75" customHeight="1" x14ac:dyDescent="0.3">
      <c r="B27" s="48"/>
      <c r="C27" s="51" t="s">
        <v>49</v>
      </c>
      <c r="D27" s="52">
        <v>3</v>
      </c>
      <c r="E27" s="52">
        <v>3</v>
      </c>
      <c r="F27" s="52">
        <v>4</v>
      </c>
      <c r="G27" s="33">
        <v>2</v>
      </c>
      <c r="H27" s="33">
        <v>3</v>
      </c>
      <c r="I27" s="53" t="s">
        <v>50</v>
      </c>
    </row>
    <row r="28" spans="1:13" ht="12.75" customHeight="1" x14ac:dyDescent="0.3">
      <c r="B28" s="48"/>
      <c r="C28" s="51" t="s">
        <v>51</v>
      </c>
      <c r="D28" s="52">
        <v>3</v>
      </c>
      <c r="E28" s="52">
        <v>3</v>
      </c>
      <c r="F28" s="52">
        <v>3</v>
      </c>
      <c r="G28" s="52">
        <v>4</v>
      </c>
      <c r="H28" s="52">
        <v>3</v>
      </c>
      <c r="I28" s="53" t="s">
        <v>19</v>
      </c>
    </row>
    <row r="29" spans="1:13" ht="12.75" customHeight="1" x14ac:dyDescent="0.3">
      <c r="B29" s="48"/>
      <c r="C29" s="54" t="s">
        <v>52</v>
      </c>
      <c r="D29" s="55">
        <v>1</v>
      </c>
      <c r="E29" s="55">
        <v>2</v>
      </c>
      <c r="F29" s="55">
        <v>3</v>
      </c>
      <c r="G29" s="55">
        <v>4</v>
      </c>
      <c r="H29" s="55">
        <v>5</v>
      </c>
      <c r="I29" s="53"/>
    </row>
    <row r="30" spans="1:13" ht="12.75" customHeight="1" x14ac:dyDescent="0.3">
      <c r="C30" s="56"/>
      <c r="D30" s="57"/>
      <c r="E30" s="57"/>
      <c r="F30" s="57"/>
      <c r="G30" s="57"/>
      <c r="H30" s="57"/>
    </row>
    <row r="31" spans="1:13" ht="12.75" customHeight="1" x14ac:dyDescent="0.3">
      <c r="B31" s="58" t="s">
        <v>53</v>
      </c>
    </row>
    <row r="32" spans="1:13" ht="144" customHeight="1" x14ac:dyDescent="0.3">
      <c r="B32" s="59"/>
      <c r="C32" s="71" t="s">
        <v>54</v>
      </c>
      <c r="D32" s="71"/>
      <c r="E32" s="71"/>
      <c r="F32" s="71"/>
      <c r="G32" s="71"/>
      <c r="H32" s="71"/>
      <c r="I32" s="71"/>
      <c r="J32" s="71"/>
      <c r="K32" s="71"/>
      <c r="L32" s="71"/>
      <c r="M32" s="72"/>
    </row>
    <row r="33" spans="2:13" x14ac:dyDescent="0.3">
      <c r="B33" s="60"/>
      <c r="C33" s="61"/>
      <c r="D33" s="62"/>
      <c r="E33" s="62"/>
      <c r="F33" s="62"/>
      <c r="G33" s="62"/>
      <c r="H33" s="62"/>
      <c r="I33" s="62"/>
      <c r="J33" s="62"/>
      <c r="K33" s="62"/>
      <c r="L33" s="62"/>
      <c r="M33" s="63"/>
    </row>
    <row r="34" spans="2:13" x14ac:dyDescent="0.3">
      <c r="B34" s="64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6"/>
    </row>
    <row r="35" spans="2:13" x14ac:dyDescent="0.3">
      <c r="B35" s="39"/>
      <c r="C35" s="39"/>
      <c r="D35" s="39"/>
      <c r="E35" s="39"/>
      <c r="F35" s="39"/>
      <c r="G35" s="39"/>
      <c r="H35" s="39"/>
    </row>
    <row r="36" spans="2:13" ht="15" customHeight="1" x14ac:dyDescent="0.3">
      <c r="B36" s="1" t="s">
        <v>55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8" spans="2:13" ht="12.75" customHeight="1" x14ac:dyDescent="0.3">
      <c r="B38" s="67" t="s">
        <v>56</v>
      </c>
    </row>
    <row r="39" spans="2:13" ht="12.75" customHeight="1" x14ac:dyDescent="0.3">
      <c r="B39" s="68" t="s">
        <v>57</v>
      </c>
    </row>
    <row r="40" spans="2:13" ht="12.75" customHeight="1" x14ac:dyDescent="0.3">
      <c r="B40" s="68" t="s">
        <v>58</v>
      </c>
    </row>
    <row r="41" spans="2:13" ht="12.75" customHeight="1" x14ac:dyDescent="0.3">
      <c r="B41" s="68" t="s">
        <v>59</v>
      </c>
    </row>
    <row r="42" spans="2:13" ht="12.75" customHeight="1" x14ac:dyDescent="0.3">
      <c r="B42" s="68" t="s">
        <v>60</v>
      </c>
    </row>
    <row r="43" spans="2:13" ht="12.75" customHeight="1" x14ac:dyDescent="0.3">
      <c r="B43" s="67" t="s">
        <v>61</v>
      </c>
    </row>
    <row r="44" spans="2:13" ht="12.75" customHeight="1" x14ac:dyDescent="0.3">
      <c r="B44" s="69" t="s">
        <v>62</v>
      </c>
    </row>
  </sheetData>
  <mergeCells count="9">
    <mergeCell ref="J10:M10"/>
    <mergeCell ref="J21:M21"/>
    <mergeCell ref="B36:M36"/>
    <mergeCell ref="C32:M32"/>
    <mergeCell ref="D10:D11"/>
    <mergeCell ref="E10:E11"/>
    <mergeCell ref="F10:F11"/>
    <mergeCell ref="G10:G11"/>
    <mergeCell ref="H10:H11"/>
  </mergeCells>
  <printOptions horizontalCentered="1" verticalCentered="1"/>
  <pageMargins left="0.1" right="0.1" top="0.1" bottom="0.1" header="0.511811023622047" footer="0.511811023622047"/>
  <pageSetup scale="95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QFD</vt:lpstr>
      <vt:lpstr>QFD!Print_Area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lolo</dc:creator>
  <dc:description/>
  <cp:lastModifiedBy>process automation ympi</cp:lastModifiedBy>
  <cp:revision>0</cp:revision>
  <cp:lastPrinted>2026-06-12T03:54:54Z</cp:lastPrinted>
  <dcterms:created xsi:type="dcterms:W3CDTF">1996-10-14T23:33:28Z</dcterms:created>
  <dcterms:modified xsi:type="dcterms:W3CDTF">2026-06-12T03:55:27Z</dcterms:modified>
  <dc:language>en-US</dc:language>
</cp:coreProperties>
</file>